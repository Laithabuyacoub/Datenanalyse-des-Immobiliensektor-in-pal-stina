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24915" windowHeight="12090"/>
  </bookViews>
  <sheets>
    <sheet name="ورقة1" sheetId="1" r:id="rId1"/>
    <sheet name="ورقة2" sheetId="2" r:id="rId2"/>
    <sheet name="ورقة3" sheetId="3" r:id="rId3"/>
  </sheets>
  <calcPr calcId="144525"/>
</workbook>
</file>

<file path=xl/calcChain.xml><?xml version="1.0" encoding="utf-8"?>
<calcChain xmlns="http://schemas.openxmlformats.org/spreadsheetml/2006/main">
  <c r="K9" i="1" l="1"/>
  <c r="K8" i="1"/>
  <c r="K7" i="1"/>
  <c r="K6" i="1"/>
  <c r="K5" i="1"/>
  <c r="K4" i="1"/>
  <c r="K3" i="1"/>
  <c r="J9" i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<sst xmlns="http://schemas.openxmlformats.org/spreadsheetml/2006/main" count="23" uniqueCount="18">
  <si>
    <t>نسبة المساكن في فلسطين 2015-2023</t>
  </si>
  <si>
    <t>حيازة المسكن</t>
  </si>
  <si>
    <t>السنة</t>
  </si>
  <si>
    <r>
      <t>(1)</t>
    </r>
    <r>
      <rPr>
        <b/>
        <sz val="9"/>
        <rFont val="Arial"/>
        <family val="2"/>
      </rPr>
      <t>2015</t>
    </r>
  </si>
  <si>
    <r>
      <t>(2)</t>
    </r>
    <r>
      <rPr>
        <b/>
        <sz val="9"/>
        <rFont val="Arial"/>
        <family val="2"/>
      </rPr>
      <t>2016</t>
    </r>
  </si>
  <si>
    <r>
      <t>(3)</t>
    </r>
    <r>
      <rPr>
        <b/>
        <sz val="9"/>
        <rFont val="Arial"/>
        <family val="2"/>
      </rPr>
      <t>2017</t>
    </r>
  </si>
  <si>
    <r>
      <t>(4)</t>
    </r>
    <r>
      <rPr>
        <b/>
        <sz val="9"/>
        <rFont val="Arial"/>
        <family val="2"/>
      </rPr>
      <t>2019</t>
    </r>
  </si>
  <si>
    <r>
      <t>(5)</t>
    </r>
    <r>
      <rPr>
        <b/>
        <sz val="9"/>
        <rFont val="Arial"/>
        <family val="2"/>
      </rPr>
      <t>2020</t>
    </r>
  </si>
  <si>
    <r>
      <t>(6)</t>
    </r>
    <r>
      <rPr>
        <b/>
        <sz val="9"/>
        <rFont val="Arial"/>
        <family val="2"/>
      </rPr>
      <t>2022</t>
    </r>
  </si>
  <si>
    <r>
      <t>*(7)</t>
    </r>
    <r>
      <rPr>
        <b/>
        <sz val="9"/>
        <rFont val="Arial"/>
        <family val="2"/>
      </rPr>
      <t>2023</t>
    </r>
  </si>
  <si>
    <t>ملك</t>
  </si>
  <si>
    <t>مستأجر</t>
  </si>
  <si>
    <t>أخرى**</t>
  </si>
  <si>
    <t>غير مبين</t>
  </si>
  <si>
    <t>-</t>
  </si>
  <si>
    <t>المجموع</t>
  </si>
  <si>
    <t>النسبة</t>
  </si>
  <si>
    <t>عدد المالكين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</si>
</sst>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charset val="178"/>
    </font>
    <font>
      <sz val="11"/>
      <color theme="1"/>
      <name val="Calibri"/>
      <family val="2"/>
      <charset val="178"/>
      <scheme val="minor"/>
    </font>
    <font>
      <sz val="10"/>
      <name val="Times New Roman"/>
      <family val="1"/>
    </font>
    <font>
      <sz val="9"/>
      <name val="Simplified Arabic"/>
      <family val="1"/>
    </font>
    <font>
      <b/>
      <sz val="9"/>
      <name val="Simplified Arabic"/>
      <family val="1"/>
    </font>
    <font>
      <b/>
      <sz val="9"/>
      <name val="Arial"/>
      <family val="2"/>
    </font>
    <font>
      <sz val="9"/>
      <name val="Arial"/>
      <family val="2"/>
    </font>
    <font>
      <b/>
      <vertAlign val="superscript"/>
      <sz val="9"/>
      <name val="Arial"/>
      <family val="2"/>
    </font>
    <font>
      <sz val="10"/>
      <name val="Arial"/>
      <family val="2"/>
    </font>
    <font>
      <sz val="9"/>
      <name val="Arial"/>
      <family val="2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1">
    <xf numFmtId="0" fontId="0" fillId="0" borderId="0"/>
    <xf numFmtId="0" fontId="2" fillId="0" borderId="0"/>
    <xf numFmtId="0" fontId="4" fillId="0" borderId="0"/>
    <xf numFmtId="0" fontId="3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</cellStyleXfs>
  <cellXfs count="32">
    <xf numFmtId="0" fontId="0" fillId="0" borderId="0" xfId="0"/>
    <xf numFmtId="0" fontId="0" fillId="0" borderId="0" xfId="0"/>
    <xf numFmtId="0" fontId="6" fillId="0" borderId="1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2" fillId="0" borderId="3" xfId="1" applyBorder="1" applyAlignment="1">
      <alignment horizontal="center" vertical="center"/>
    </xf>
    <xf numFmtId="0" fontId="2" fillId="0" borderId="4" xfId="1" applyBorder="1" applyAlignment="1">
      <alignment horizontal="center" vertical="center"/>
    </xf>
    <xf numFmtId="164" fontId="8" fillId="0" borderId="0" xfId="1" applyNumberFormat="1" applyFont="1" applyFill="1" applyBorder="1" applyAlignment="1">
      <alignment horizontal="right" vertical="center"/>
    </xf>
    <xf numFmtId="0" fontId="9" fillId="0" borderId="1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164" fontId="8" fillId="0" borderId="0" xfId="2" applyNumberFormat="1" applyFont="1" applyBorder="1" applyAlignment="1">
      <alignment horizontal="right" vertical="center"/>
    </xf>
    <xf numFmtId="3" fontId="8" fillId="2" borderId="0" xfId="2" applyNumberFormat="1" applyFont="1" applyFill="1" applyBorder="1" applyAlignment="1">
      <alignment horizontal="right" vertical="center"/>
    </xf>
    <xf numFmtId="0" fontId="5" fillId="0" borderId="10" xfId="1" applyFont="1" applyBorder="1" applyAlignment="1">
      <alignment horizontal="right" indent="1"/>
    </xf>
    <xf numFmtId="164" fontId="8" fillId="0" borderId="8" xfId="1" applyNumberFormat="1" applyFont="1" applyBorder="1" applyAlignment="1">
      <alignment horizontal="right" vertical="center"/>
    </xf>
    <xf numFmtId="164" fontId="8" fillId="0" borderId="0" xfId="1" applyNumberFormat="1" applyFont="1" applyBorder="1" applyAlignment="1">
      <alignment horizontal="right" vertical="center"/>
    </xf>
    <xf numFmtId="3" fontId="8" fillId="0" borderId="0" xfId="2" applyNumberFormat="1" applyFont="1" applyBorder="1" applyAlignment="1">
      <alignment horizontal="right" vertical="center"/>
    </xf>
    <xf numFmtId="0" fontId="5" fillId="0" borderId="7" xfId="1" applyFont="1" applyBorder="1" applyAlignment="1">
      <alignment horizontal="right" indent="1"/>
    </xf>
    <xf numFmtId="49" fontId="11" fillId="0" borderId="10" xfId="1" applyNumberFormat="1" applyFont="1" applyBorder="1" applyAlignment="1">
      <alignment horizontal="right" vertical="center" indent="1"/>
    </xf>
    <xf numFmtId="0" fontId="9" fillId="0" borderId="7" xfId="1" applyFont="1" applyFill="1" applyBorder="1" applyAlignment="1">
      <alignment horizontal="center" vertical="center"/>
    </xf>
    <xf numFmtId="164" fontId="8" fillId="0" borderId="7" xfId="1" applyNumberFormat="1" applyFont="1" applyBorder="1" applyAlignment="1">
      <alignment horizontal="right" vertical="center"/>
    </xf>
    <xf numFmtId="3" fontId="8" fillId="2" borderId="6" xfId="2" applyNumberFormat="1" applyFont="1" applyFill="1" applyBorder="1" applyAlignment="1">
      <alignment horizontal="right" vertical="center"/>
    </xf>
    <xf numFmtId="0" fontId="6" fillId="0" borderId="10" xfId="1" applyFont="1" applyBorder="1" applyAlignment="1">
      <alignment horizontal="right" indent="1"/>
    </xf>
    <xf numFmtId="164" fontId="8" fillId="0" borderId="10" xfId="1" applyNumberFormat="1" applyFont="1" applyBorder="1" applyAlignment="1">
      <alignment horizontal="right" vertical="center"/>
    </xf>
    <xf numFmtId="3" fontId="8" fillId="0" borderId="10" xfId="2" applyNumberFormat="1" applyFont="1" applyBorder="1" applyAlignment="1">
      <alignment horizontal="right" vertical="center"/>
    </xf>
    <xf numFmtId="0" fontId="7" fillId="0" borderId="11" xfId="1" applyFont="1" applyBorder="1" applyAlignment="1">
      <alignment horizontal="right" vertical="center"/>
    </xf>
    <xf numFmtId="0" fontId="7" fillId="0" borderId="5" xfId="1" applyFont="1" applyBorder="1" applyAlignment="1">
      <alignment horizontal="right" vertical="center"/>
    </xf>
    <xf numFmtId="164" fontId="8" fillId="2" borderId="0" xfId="1" applyNumberFormat="1" applyFont="1" applyFill="1" applyBorder="1" applyAlignment="1">
      <alignment horizontal="right" vertical="center"/>
    </xf>
    <xf numFmtId="164" fontId="2" fillId="2" borderId="8" xfId="1" applyNumberFormat="1" applyFill="1" applyBorder="1"/>
    <xf numFmtId="164" fontId="8" fillId="2" borderId="9" xfId="6" applyNumberFormat="1" applyFont="1" applyFill="1" applyBorder="1" applyAlignment="1">
      <alignment horizontal="right" vertical="center"/>
    </xf>
    <xf numFmtId="164" fontId="8" fillId="2" borderId="6" xfId="6" applyNumberFormat="1" applyFont="1" applyFill="1" applyBorder="1" applyAlignment="1">
      <alignment horizontal="right" vertical="center"/>
    </xf>
    <xf numFmtId="0" fontId="7" fillId="2" borderId="5" xfId="1" applyFont="1" applyFill="1" applyBorder="1" applyAlignment="1">
      <alignment horizontal="right" vertical="center"/>
    </xf>
    <xf numFmtId="0" fontId="7" fillId="2" borderId="12" xfId="1" applyFont="1" applyFill="1" applyBorder="1" applyAlignment="1">
      <alignment horizontal="right" vertical="center"/>
    </xf>
  </cellXfs>
  <cellStyles count="11">
    <cellStyle name="Normal" xfId="0" builtinId="0"/>
    <cellStyle name="Normal 2" xfId="2"/>
    <cellStyle name="Normal 2 2" xfId="8"/>
    <cellStyle name="Normal 3" xfId="3"/>
    <cellStyle name="Normal 3 2" xfId="9"/>
    <cellStyle name="Normal 4" xfId="4"/>
    <cellStyle name="Normal 5" xfId="5"/>
    <cellStyle name="Normal 6" xfId="7"/>
    <cellStyle name="Normal 7" xfId="10"/>
    <cellStyle name="Normal 8" xfId="1"/>
    <cellStyle name="Normal_Tab1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L9" sqref="L9"/>
    </sheetView>
  </sheetViews>
  <sheetFormatPr defaultRowHeight="15" x14ac:dyDescent="0.25"/>
  <sheetData>
    <row r="1" spans="1:11" x14ac:dyDescent="0.25">
      <c r="A1" s="1" t="s">
        <v>0</v>
      </c>
      <c r="B1" s="1"/>
      <c r="C1" s="1"/>
      <c r="D1" s="1"/>
      <c r="E1" s="1"/>
      <c r="F1" s="1"/>
    </row>
    <row r="2" spans="1:11" ht="20.25" x14ac:dyDescent="0.25">
      <c r="A2" s="2" t="s">
        <v>1</v>
      </c>
      <c r="B2" s="4" t="s">
        <v>2</v>
      </c>
      <c r="C2" s="5"/>
      <c r="D2" s="5"/>
      <c r="E2" s="5"/>
      <c r="F2" s="5"/>
      <c r="G2" s="5"/>
      <c r="H2" s="6"/>
      <c r="I2" t="s">
        <v>2</v>
      </c>
      <c r="J2" t="s">
        <v>16</v>
      </c>
      <c r="K2" t="s">
        <v>17</v>
      </c>
    </row>
    <row r="3" spans="1:11" x14ac:dyDescent="0.25">
      <c r="A3" s="3"/>
      <c r="B3" s="18" t="s">
        <v>3</v>
      </c>
      <c r="C3" s="8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>
        <v>2015</v>
      </c>
      <c r="J3">
        <f>B4/100</f>
        <v>0.80900000000000005</v>
      </c>
      <c r="K3">
        <f>J3*4530416</f>
        <v>3665106.5440000002</v>
      </c>
    </row>
    <row r="4" spans="1:11" ht="20.25" x14ac:dyDescent="0.55000000000000004">
      <c r="A4" s="16" t="s">
        <v>10</v>
      </c>
      <c r="B4" s="19">
        <v>80.900000000000006</v>
      </c>
      <c r="C4" s="13">
        <v>76.7</v>
      </c>
      <c r="D4" s="13">
        <v>84.6</v>
      </c>
      <c r="E4" s="13">
        <v>87.7</v>
      </c>
      <c r="F4" s="13">
        <v>78</v>
      </c>
      <c r="G4" s="27">
        <v>81</v>
      </c>
      <c r="H4" s="28">
        <v>81.3</v>
      </c>
      <c r="I4" s="7">
        <v>2016</v>
      </c>
      <c r="J4">
        <f>C4/100</f>
        <v>0.76700000000000002</v>
      </c>
      <c r="K4">
        <f>J4*4632025</f>
        <v>3552763.1750000003</v>
      </c>
    </row>
    <row r="5" spans="1:11" ht="20.25" x14ac:dyDescent="0.55000000000000004">
      <c r="A5" s="12" t="s">
        <v>11</v>
      </c>
      <c r="B5" s="22">
        <v>7.8</v>
      </c>
      <c r="C5" s="14">
        <v>8.8000000000000007</v>
      </c>
      <c r="D5" s="14">
        <v>8.4</v>
      </c>
      <c r="E5" s="14">
        <v>7.9</v>
      </c>
      <c r="F5" s="14">
        <v>6.8</v>
      </c>
      <c r="G5" s="26">
        <v>7.1</v>
      </c>
      <c r="H5" s="29">
        <v>8.1999999999999993</v>
      </c>
      <c r="I5" s="7">
        <v>2017</v>
      </c>
      <c r="J5">
        <f>E4/100</f>
        <v>0.877</v>
      </c>
      <c r="K5">
        <f>J5*4733357</f>
        <v>4151154.0890000002</v>
      </c>
    </row>
    <row r="6" spans="1:11" ht="20.25" x14ac:dyDescent="0.55000000000000004">
      <c r="A6" s="12" t="s">
        <v>12</v>
      </c>
      <c r="B6" s="22">
        <v>11.3</v>
      </c>
      <c r="C6" s="14">
        <v>14.5</v>
      </c>
      <c r="D6" s="14">
        <v>5.8</v>
      </c>
      <c r="E6" s="14">
        <v>4.3</v>
      </c>
      <c r="F6" s="14">
        <v>15.2</v>
      </c>
      <c r="G6" s="26">
        <v>11.9</v>
      </c>
      <c r="H6" s="29">
        <v>10.5</v>
      </c>
      <c r="I6" s="7">
        <v>2019</v>
      </c>
      <c r="J6">
        <f>F4/100</f>
        <v>0.78</v>
      </c>
      <c r="K6">
        <f>J6*4976684</f>
        <v>3881813.52</v>
      </c>
    </row>
    <row r="7" spans="1:11" x14ac:dyDescent="0.25">
      <c r="A7" s="17" t="s">
        <v>13</v>
      </c>
      <c r="B7" s="23" t="s">
        <v>14</v>
      </c>
      <c r="C7" s="15" t="s">
        <v>14</v>
      </c>
      <c r="D7" s="10">
        <v>1.2</v>
      </c>
      <c r="E7" s="10">
        <v>0.1</v>
      </c>
      <c r="F7" s="15" t="s">
        <v>14</v>
      </c>
      <c r="G7" s="11" t="s">
        <v>14</v>
      </c>
      <c r="H7" s="20" t="s">
        <v>14</v>
      </c>
      <c r="I7" s="7">
        <v>2020</v>
      </c>
      <c r="J7">
        <f>F4/100</f>
        <v>0.78</v>
      </c>
      <c r="K7">
        <f>J7* 5101152</f>
        <v>3978898.56</v>
      </c>
    </row>
    <row r="8" spans="1:11" ht="20.25" x14ac:dyDescent="0.55000000000000004">
      <c r="A8" s="21" t="s">
        <v>15</v>
      </c>
      <c r="B8" s="24">
        <v>100</v>
      </c>
      <c r="C8" s="25">
        <v>100</v>
      </c>
      <c r="D8" s="25">
        <v>100</v>
      </c>
      <c r="E8" s="25">
        <v>100</v>
      </c>
      <c r="F8" s="25">
        <v>100</v>
      </c>
      <c r="G8" s="30">
        <v>100</v>
      </c>
      <c r="H8" s="31">
        <v>100</v>
      </c>
      <c r="I8" s="7">
        <v>2022</v>
      </c>
      <c r="J8">
        <f>G4/100</f>
        <v>0.81</v>
      </c>
      <c r="K8">
        <f>J8*5354656</f>
        <v>4337271.3600000003</v>
      </c>
    </row>
    <row r="9" spans="1:11" x14ac:dyDescent="0.25">
      <c r="I9" s="7">
        <v>2023</v>
      </c>
      <c r="J9">
        <f>H4/100</f>
        <v>0.81299999999999994</v>
      </c>
      <c r="K9">
        <f>J9*5483450</f>
        <v>4458044.8499999996</v>
      </c>
    </row>
  </sheetData>
  <mergeCells count="3">
    <mergeCell ref="A1:F1"/>
    <mergeCell ref="A2:A3"/>
    <mergeCell ref="B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Sukker</dc:creator>
  <cp:lastModifiedBy>Microsoft Sukker</cp:lastModifiedBy>
  <dcterms:created xsi:type="dcterms:W3CDTF">2025-02-18T18:33:25Z</dcterms:created>
  <dcterms:modified xsi:type="dcterms:W3CDTF">2025-02-18T18:45:57Z</dcterms:modified>
</cp:coreProperties>
</file>