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915" windowHeight="12090"/>
  </bookViews>
  <sheets>
    <sheet name="ورقة1" sheetId="1" r:id="rId1"/>
    <sheet name="ورقة2" sheetId="2" r:id="rId2"/>
    <sheet name="ورقة3" sheetId="3" r:id="rId3"/>
  </sheets>
  <calcPr calcId="144525"/>
</workbook>
</file>

<file path=xl/calcChain.xml><?xml version="1.0" encoding="utf-8"?>
<calcChain xmlns="http://schemas.openxmlformats.org/spreadsheetml/2006/main">
  <c r="H7" i="1" l="1"/>
  <c r="H4" i="1"/>
  <c r="H13" i="1" l="1"/>
  <c r="H12" i="1"/>
  <c r="H11" i="1"/>
  <c r="H10" i="1"/>
  <c r="H9" i="1"/>
  <c r="H8" i="1"/>
  <c r="H6" i="1"/>
  <c r="H5" i="1"/>
  <c r="H3" i="1"/>
  <c r="G4" i="1"/>
  <c r="G5" i="1"/>
  <c r="G6" i="1"/>
  <c r="G7" i="1"/>
  <c r="G8" i="1"/>
  <c r="G9" i="1"/>
  <c r="G10" i="1"/>
  <c r="G11" i="1"/>
  <c r="G12" i="1"/>
  <c r="G13" i="1"/>
  <c r="G3" i="1"/>
</calcChain>
</file>

<file path=xl/sharedStrings.xml><?xml version="1.0" encoding="utf-8"?>
<sst xmlns="http://schemas.openxmlformats.org/spreadsheetml/2006/main" count="20" uniqueCount="20">
  <si>
    <t>نسبة الاسر المالكة في 2023</t>
  </si>
  <si>
    <t>المحافظة</t>
  </si>
  <si>
    <t>المالك</t>
  </si>
  <si>
    <t xml:space="preserve">الايجار </t>
  </si>
  <si>
    <t>اخرى</t>
  </si>
  <si>
    <t>جنين</t>
  </si>
  <si>
    <t>طوباس</t>
  </si>
  <si>
    <t>طولكرم</t>
  </si>
  <si>
    <t>نابلس</t>
  </si>
  <si>
    <t>قلقيلية</t>
  </si>
  <si>
    <t>سلفيت</t>
  </si>
  <si>
    <t>رام الله و البيرة</t>
  </si>
  <si>
    <t>اريحا</t>
  </si>
  <si>
    <t>القدس</t>
  </si>
  <si>
    <t>بيت لحم</t>
  </si>
  <si>
    <t>الخليل</t>
  </si>
  <si>
    <t>نسبة</t>
  </si>
  <si>
    <t>عدد المالكين</t>
  </si>
  <si>
    <t>عدد السكان</t>
  </si>
  <si>
    <t>نسبة التغير في الملاك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</si>
</sst>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 readingOrder="1"/>
    </xf>
    <xf numFmtId="0" fontId="1" fillId="2" borderId="0" xfId="0" applyFont="1" applyFill="1" applyAlignment="1">
      <alignment vertical="center" wrapText="1" readingOrder="1"/>
    </xf>
    <xf numFmtId="0" fontId="0" fillId="0" borderId="0" xfId="0" applyNumberFormat="1"/>
    <xf numFmtId="0" fontId="0" fillId="0" borderId="0" xfId="0"/>
    <xf numFmtId="1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J21" sqref="J21"/>
    </sheetView>
  </sheetViews>
  <sheetFormatPr defaultRowHeight="15" x14ac:dyDescent="0.25"/>
  <cols>
    <col min="11" max="11" width="16.28515625" customWidth="1"/>
  </cols>
  <sheetData>
    <row r="1" spans="1:11" x14ac:dyDescent="0.25">
      <c r="A1" s="6" t="s">
        <v>0</v>
      </c>
      <c r="B1" s="6"/>
      <c r="C1" s="6"/>
      <c r="D1" s="6"/>
      <c r="E1" s="6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G2" t="s">
        <v>16</v>
      </c>
      <c r="H2" t="s">
        <v>17</v>
      </c>
      <c r="I2" t="s">
        <v>18</v>
      </c>
      <c r="K2" s="4" t="s">
        <v>19</v>
      </c>
    </row>
    <row r="3" spans="1:11" x14ac:dyDescent="0.25">
      <c r="A3" t="s">
        <v>5</v>
      </c>
      <c r="B3">
        <v>87.1</v>
      </c>
      <c r="C3">
        <v>7</v>
      </c>
      <c r="D3" s="2">
        <v>5.9</v>
      </c>
      <c r="G3">
        <f t="shared" ref="G3:G13" si="0">B3/100</f>
        <v>0.871</v>
      </c>
      <c r="H3">
        <f>G3*352875</f>
        <v>307354.125</v>
      </c>
      <c r="I3" s="3">
        <v>352875</v>
      </c>
      <c r="J3" s="5"/>
      <c r="K3" s="5">
        <v>0.127</v>
      </c>
    </row>
    <row r="4" spans="1:11" x14ac:dyDescent="0.25">
      <c r="A4" t="s">
        <v>6</v>
      </c>
      <c r="B4" s="1">
        <v>82.7</v>
      </c>
      <c r="C4" s="1">
        <v>5.0999999999999996</v>
      </c>
      <c r="D4" s="1">
        <v>12.2</v>
      </c>
      <c r="G4">
        <f t="shared" si="0"/>
        <v>0.82700000000000007</v>
      </c>
      <c r="H4">
        <f>G4*68799</f>
        <v>56896.773000000008</v>
      </c>
      <c r="I4" s="3">
        <v>68779</v>
      </c>
      <c r="J4" s="5"/>
      <c r="K4" s="5">
        <v>3.2000000000000001E-2</v>
      </c>
    </row>
    <row r="5" spans="1:11" x14ac:dyDescent="0.25">
      <c r="A5" t="s">
        <v>7</v>
      </c>
      <c r="B5" s="2">
        <v>80.599999999999994</v>
      </c>
      <c r="C5" s="2">
        <v>4.7</v>
      </c>
      <c r="D5" s="2">
        <v>14.7</v>
      </c>
      <c r="G5">
        <f t="shared" si="0"/>
        <v>0.80599999999999994</v>
      </c>
      <c r="H5">
        <f>G5*205946</f>
        <v>165992.476</v>
      </c>
      <c r="I5" s="3">
        <v>205946</v>
      </c>
      <c r="J5" s="5"/>
      <c r="K5" s="5">
        <v>0.04</v>
      </c>
    </row>
    <row r="6" spans="1:11" x14ac:dyDescent="0.25">
      <c r="A6" t="s">
        <v>8</v>
      </c>
      <c r="B6" s="1">
        <v>72.2</v>
      </c>
      <c r="C6" s="1">
        <v>10.199999999999999</v>
      </c>
      <c r="D6" s="1">
        <v>17.600000000000001</v>
      </c>
      <c r="G6">
        <f t="shared" si="0"/>
        <v>0.72199999999999998</v>
      </c>
      <c r="H6">
        <f>G6*431584</f>
        <v>311603.64799999999</v>
      </c>
      <c r="I6" s="3">
        <v>431584</v>
      </c>
      <c r="J6" s="5"/>
      <c r="K6" s="5">
        <v>-6.3E-2</v>
      </c>
    </row>
    <row r="7" spans="1:11" x14ac:dyDescent="0.25">
      <c r="A7" t="s">
        <v>9</v>
      </c>
      <c r="B7" s="2">
        <v>83.6</v>
      </c>
      <c r="C7" s="2">
        <v>3.4</v>
      </c>
      <c r="D7" s="2">
        <v>13</v>
      </c>
      <c r="G7">
        <f t="shared" si="0"/>
        <v>0.83599999999999997</v>
      </c>
      <c r="H7">
        <f>G7*127025</f>
        <v>106192.9</v>
      </c>
      <c r="I7" s="3">
        <v>127025</v>
      </c>
      <c r="J7" s="5"/>
      <c r="K7" s="5">
        <v>7.3999999999999996E-2</v>
      </c>
    </row>
    <row r="8" spans="1:11" x14ac:dyDescent="0.25">
      <c r="A8" t="s">
        <v>10</v>
      </c>
      <c r="B8" s="1">
        <v>87.3</v>
      </c>
      <c r="C8" s="1">
        <v>3.1</v>
      </c>
      <c r="D8" s="1">
        <v>9.6</v>
      </c>
      <c r="G8">
        <f t="shared" si="0"/>
        <v>0.873</v>
      </c>
      <c r="H8">
        <f>G8*85920</f>
        <v>75008.160000000003</v>
      </c>
      <c r="I8" s="3">
        <v>85920</v>
      </c>
      <c r="J8" s="5"/>
      <c r="K8" s="5">
        <v>0.11899999999999999</v>
      </c>
    </row>
    <row r="9" spans="1:11" x14ac:dyDescent="0.25">
      <c r="A9" t="s">
        <v>11</v>
      </c>
      <c r="B9" s="2">
        <v>87.8</v>
      </c>
      <c r="C9" s="2">
        <v>9</v>
      </c>
      <c r="D9" s="2">
        <v>3.2</v>
      </c>
      <c r="G9">
        <f t="shared" si="0"/>
        <v>0.878</v>
      </c>
      <c r="H9">
        <f>G9*370030</f>
        <v>324886.34000000003</v>
      </c>
      <c r="I9" s="3">
        <v>370030</v>
      </c>
      <c r="J9" s="5"/>
      <c r="K9" s="5">
        <v>0.21</v>
      </c>
    </row>
    <row r="10" spans="1:11" x14ac:dyDescent="0.25">
      <c r="A10" t="s">
        <v>12</v>
      </c>
      <c r="B10" s="1">
        <v>90.2</v>
      </c>
      <c r="C10" s="1">
        <v>7.5</v>
      </c>
      <c r="D10" s="1">
        <v>2.2999999999999998</v>
      </c>
      <c r="G10">
        <f t="shared" si="0"/>
        <v>0.90200000000000002</v>
      </c>
      <c r="H10">
        <f>G10*55268</f>
        <v>49851.736000000004</v>
      </c>
      <c r="I10" s="3">
        <v>55268</v>
      </c>
      <c r="J10" s="5"/>
      <c r="K10" s="5">
        <v>0.216</v>
      </c>
    </row>
    <row r="11" spans="1:11" x14ac:dyDescent="0.25">
      <c r="A11" t="s">
        <v>13</v>
      </c>
      <c r="B11" s="2">
        <v>76.3</v>
      </c>
      <c r="C11" s="2">
        <v>19.7</v>
      </c>
      <c r="D11" s="2">
        <v>4</v>
      </c>
      <c r="G11">
        <f t="shared" si="0"/>
        <v>0.76300000000000001</v>
      </c>
      <c r="H11">
        <f>G11*492340</f>
        <v>375655.42</v>
      </c>
      <c r="I11" s="3">
        <v>492340</v>
      </c>
      <c r="J11" s="5"/>
      <c r="K11" s="5">
        <v>0.19500000000000001</v>
      </c>
    </row>
    <row r="12" spans="1:11" x14ac:dyDescent="0.25">
      <c r="A12" t="s">
        <v>14</v>
      </c>
      <c r="B12" s="1">
        <v>76.3</v>
      </c>
      <c r="C12" s="1">
        <v>3.3</v>
      </c>
      <c r="D12" s="1">
        <v>20.399999999999999</v>
      </c>
      <c r="G12">
        <f t="shared" si="0"/>
        <v>0.76300000000000001</v>
      </c>
      <c r="H12">
        <f>G12*244704</f>
        <v>186709.152</v>
      </c>
      <c r="I12" s="3">
        <v>244704</v>
      </c>
      <c r="J12" s="5"/>
      <c r="K12" s="5">
        <v>-0.4</v>
      </c>
    </row>
    <row r="13" spans="1:11" x14ac:dyDescent="0.25">
      <c r="A13" t="s">
        <v>15</v>
      </c>
      <c r="B13" s="2">
        <v>83.7</v>
      </c>
      <c r="C13" s="2">
        <v>4.4000000000000004</v>
      </c>
      <c r="D13" s="2">
        <v>11.9</v>
      </c>
      <c r="G13">
        <f t="shared" si="0"/>
        <v>0.83700000000000008</v>
      </c>
      <c r="H13">
        <f>G13*822435</f>
        <v>688378.09500000009</v>
      </c>
      <c r="I13" s="3">
        <v>822435</v>
      </c>
      <c r="J13" s="5"/>
      <c r="K13" s="5">
        <v>9.2999999999999999E-2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Sukker</dc:creator>
  <cp:lastModifiedBy>Microsoft Sukker</cp:lastModifiedBy>
  <dcterms:created xsi:type="dcterms:W3CDTF">2025-02-18T18:02:30Z</dcterms:created>
  <dcterms:modified xsi:type="dcterms:W3CDTF">2025-02-24T12:16:15Z</dcterms:modified>
</cp:coreProperties>
</file>