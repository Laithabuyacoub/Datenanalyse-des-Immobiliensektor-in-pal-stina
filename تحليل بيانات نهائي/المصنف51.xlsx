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18195" windowHeight="8010"/>
  </bookViews>
  <sheets>
    <sheet name="ورقة1" sheetId="1" r:id="rId1"/>
    <sheet name="ورقة2" sheetId="2" r:id="rId2"/>
    <sheet name="ورقة3" sheetId="3" r:id="rId3"/>
  </sheets>
  <calcPr calcId="144525"/>
</workbook>
</file>

<file path=xl/calcChain.xml><?xml version="1.0" encoding="utf-8"?>
<calcChain xmlns="http://schemas.openxmlformats.org/spreadsheetml/2006/main">
  <c r="H12" i="1" l="1"/>
  <c r="H11" i="1"/>
  <c r="H13" i="1"/>
  <c r="G11" i="1" l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2" i="1"/>
  <c r="G13" i="1"/>
  <c r="G3" i="1"/>
  <c r="H3" i="1" s="1"/>
</calcChain>
</file>

<file path=xl/sharedStrings.xml><?xml version="1.0" encoding="utf-8"?>
<sst xmlns="http://schemas.openxmlformats.org/spreadsheetml/2006/main" count="19" uniqueCount="19">
  <si>
    <t>نسبة الاسر المالكة للسكن في 2017</t>
  </si>
  <si>
    <t>المحافظة</t>
  </si>
  <si>
    <t xml:space="preserve">الملك </t>
  </si>
  <si>
    <t>الايجار</t>
  </si>
  <si>
    <t>اخرى</t>
  </si>
  <si>
    <t>جنين</t>
  </si>
  <si>
    <t>طوباس</t>
  </si>
  <si>
    <t>طولكرم</t>
  </si>
  <si>
    <t>نابلس</t>
  </si>
  <si>
    <t>قلقيلية</t>
  </si>
  <si>
    <t>سلفيت</t>
  </si>
  <si>
    <t>اريحا</t>
  </si>
  <si>
    <t>بيت لحم</t>
  </si>
  <si>
    <t>الخليل</t>
  </si>
  <si>
    <t>عدد المالكون</t>
  </si>
  <si>
    <t>النسبة</t>
  </si>
  <si>
    <t>القدس</t>
  </si>
  <si>
    <t>رام الله والبيرة</t>
  </si>
  <si>
    <t>عدد السكان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</si>
</sst>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>
      <selection activeCell="L12" sqref="L12"/>
    </sheetView>
  </sheetViews>
  <sheetFormatPr defaultRowHeight="15" x14ac:dyDescent="0.25"/>
  <cols>
    <col min="7" max="7" width="12" customWidth="1"/>
    <col min="8" max="8" width="12.42578125" customWidth="1"/>
  </cols>
  <sheetData>
    <row r="1" spans="1:9" x14ac:dyDescent="0.25">
      <c r="A1" s="3" t="s">
        <v>0</v>
      </c>
      <c r="B1" s="3"/>
      <c r="C1" s="3"/>
      <c r="D1" s="3"/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G2" t="s">
        <v>15</v>
      </c>
      <c r="H2" t="s">
        <v>14</v>
      </c>
      <c r="I2" t="s">
        <v>18</v>
      </c>
    </row>
    <row r="3" spans="1:9" x14ac:dyDescent="0.25">
      <c r="A3" t="s">
        <v>5</v>
      </c>
      <c r="B3">
        <v>87.3</v>
      </c>
      <c r="C3">
        <v>8.1999999999999993</v>
      </c>
      <c r="D3">
        <v>10.5</v>
      </c>
      <c r="G3" s="1">
        <f>B3/100</f>
        <v>0.873</v>
      </c>
      <c r="H3">
        <f>G3*312135</f>
        <v>272493.85499999998</v>
      </c>
      <c r="I3" s="2">
        <v>312135</v>
      </c>
    </row>
    <row r="4" spans="1:9" x14ac:dyDescent="0.25">
      <c r="A4" t="s">
        <v>6</v>
      </c>
      <c r="B4">
        <v>91.2</v>
      </c>
      <c r="C4">
        <v>5.0999999999999996</v>
      </c>
      <c r="D4">
        <v>3.8</v>
      </c>
      <c r="G4" s="1">
        <f t="shared" ref="G4:G13" si="0">B4/100</f>
        <v>0.91200000000000003</v>
      </c>
      <c r="H4">
        <f>G4*60399</f>
        <v>55083.887999999999</v>
      </c>
      <c r="I4" s="2">
        <v>60399</v>
      </c>
    </row>
    <row r="5" spans="1:9" x14ac:dyDescent="0.25">
      <c r="A5" t="s">
        <v>7</v>
      </c>
      <c r="B5">
        <v>86.2</v>
      </c>
      <c r="C5">
        <v>10.3</v>
      </c>
      <c r="D5">
        <v>3.5</v>
      </c>
      <c r="G5" s="1">
        <f t="shared" si="0"/>
        <v>0.86199999999999999</v>
      </c>
      <c r="H5">
        <f>G5*185140</f>
        <v>159590.68</v>
      </c>
      <c r="I5" s="2">
        <v>185140</v>
      </c>
    </row>
    <row r="6" spans="1:9" x14ac:dyDescent="0.25">
      <c r="A6" t="s">
        <v>8</v>
      </c>
      <c r="B6">
        <v>86.4</v>
      </c>
      <c r="C6">
        <v>10.4</v>
      </c>
      <c r="D6">
        <v>3.2</v>
      </c>
      <c r="G6" s="1">
        <f t="shared" si="0"/>
        <v>0.8640000000000001</v>
      </c>
      <c r="H6">
        <f>G6*384953</f>
        <v>332599.39200000005</v>
      </c>
      <c r="I6" s="2">
        <v>384953</v>
      </c>
    </row>
    <row r="7" spans="1:9" x14ac:dyDescent="0.25">
      <c r="A7" t="s">
        <v>9</v>
      </c>
      <c r="B7">
        <v>88.7</v>
      </c>
      <c r="C7">
        <v>7.3</v>
      </c>
      <c r="D7">
        <v>4</v>
      </c>
      <c r="G7" s="1">
        <f t="shared" si="0"/>
        <v>0.88700000000000001</v>
      </c>
      <c r="H7">
        <f>G7*111425</f>
        <v>98833.975000000006</v>
      </c>
      <c r="I7" s="2">
        <v>111425</v>
      </c>
    </row>
    <row r="8" spans="1:9" x14ac:dyDescent="0.25">
      <c r="A8" t="s">
        <v>10</v>
      </c>
      <c r="B8">
        <v>89.6</v>
      </c>
      <c r="C8">
        <v>5.8</v>
      </c>
      <c r="D8">
        <v>4.5999999999999996</v>
      </c>
      <c r="G8" s="1">
        <f t="shared" si="0"/>
        <v>0.89599999999999991</v>
      </c>
      <c r="H8">
        <f>G8*74790</f>
        <v>67011.839999999997</v>
      </c>
      <c r="I8" s="2">
        <v>74790</v>
      </c>
    </row>
    <row r="9" spans="1:9" x14ac:dyDescent="0.25">
      <c r="A9" t="s">
        <v>17</v>
      </c>
      <c r="B9">
        <v>82.3</v>
      </c>
      <c r="C9">
        <v>13.6</v>
      </c>
      <c r="D9">
        <v>2.2000000000000002</v>
      </c>
      <c r="G9" s="1">
        <f t="shared" si="0"/>
        <v>0.82299999999999995</v>
      </c>
      <c r="H9">
        <f>G9*326008</f>
        <v>268304.58399999997</v>
      </c>
      <c r="I9" s="2">
        <v>326008</v>
      </c>
    </row>
    <row r="10" spans="1:9" x14ac:dyDescent="0.25">
      <c r="A10" t="s">
        <v>11</v>
      </c>
      <c r="B10">
        <v>82.7</v>
      </c>
      <c r="C10">
        <v>8.1</v>
      </c>
      <c r="D10">
        <v>3.3</v>
      </c>
      <c r="G10" s="1">
        <f>B10/100</f>
        <v>0.82700000000000007</v>
      </c>
      <c r="H10">
        <f>G10*49568</f>
        <v>40992.736000000004</v>
      </c>
      <c r="I10" s="2">
        <v>49568</v>
      </c>
    </row>
    <row r="11" spans="1:9" x14ac:dyDescent="0.25">
      <c r="A11" t="s">
        <v>16</v>
      </c>
      <c r="B11">
        <v>72.8</v>
      </c>
      <c r="C11">
        <v>16.5</v>
      </c>
      <c r="D11">
        <v>1.2</v>
      </c>
      <c r="G11" s="1">
        <f>B11/100</f>
        <v>0.72799999999999998</v>
      </c>
      <c r="H11">
        <f>G11*431706</f>
        <v>314281.96799999999</v>
      </c>
      <c r="I11" s="2">
        <v>431706</v>
      </c>
    </row>
    <row r="12" spans="1:9" x14ac:dyDescent="0.25">
      <c r="A12" t="s">
        <v>12</v>
      </c>
      <c r="B12">
        <v>90.3</v>
      </c>
      <c r="C12">
        <v>6.9</v>
      </c>
      <c r="D12">
        <v>2.7</v>
      </c>
      <c r="G12" s="1">
        <f t="shared" si="0"/>
        <v>0.90300000000000002</v>
      </c>
      <c r="H12">
        <f>G12*215514</f>
        <v>194609.14199999999</v>
      </c>
      <c r="I12" s="2">
        <v>215514</v>
      </c>
    </row>
    <row r="13" spans="1:9" x14ac:dyDescent="0.25">
      <c r="A13" t="s">
        <v>13</v>
      </c>
      <c r="B13">
        <v>89.3</v>
      </c>
      <c r="C13">
        <v>5.6</v>
      </c>
      <c r="D13">
        <v>5.0999999999999996</v>
      </c>
      <c r="G13" s="1">
        <f t="shared" si="0"/>
        <v>0.89300000000000002</v>
      </c>
      <c r="H13">
        <f>G13*705053</f>
        <v>629612.32900000003</v>
      </c>
      <c r="I13" s="2">
        <v>705053</v>
      </c>
    </row>
  </sheetData>
  <mergeCells count="1"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ورقة1</vt:lpstr>
      <vt:lpstr>ورقة2</vt:lpstr>
      <vt:lpstr>ورقة3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Sukker</dc:creator>
  <cp:lastModifiedBy>Microsoft Sukker</cp:lastModifiedBy>
  <dcterms:created xsi:type="dcterms:W3CDTF">2025-02-18T17:28:12Z</dcterms:created>
  <dcterms:modified xsi:type="dcterms:W3CDTF">2025-02-24T11:27:38Z</dcterms:modified>
</cp:coreProperties>
</file>